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📊 Raw Data" sheetId="2" state="visible" r:id="rId2"/>
    <sheet xmlns:r="http://schemas.openxmlformats.org/officeDocument/2006/relationships" name="⚙ Clock Engine" sheetId="3" state="visible" r:id="rId3"/>
    <sheet xmlns:r="http://schemas.openxmlformats.org/officeDocument/2006/relationships" name="🔮 Saddle Signals" sheetId="4" state="visible" r:id="rId4"/>
    <sheet xmlns:r="http://schemas.openxmlformats.org/officeDocument/2006/relationships" name="📈 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color rgb="FF888888"/>
      <sz val="11"/>
    </font>
    <font>
      <name val="Arial"/>
      <color rgb="FFFFFFFF"/>
      <sz val="10"/>
    </font>
    <font>
      <name val="Arial"/>
      <b val="1"/>
      <color rgb="FF6C63FF"/>
      <sz val="10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sz val="9"/>
    </font>
    <font>
      <name val="Arial"/>
      <i val="1"/>
      <color rgb="FF888888"/>
      <sz val="8"/>
    </font>
    <font>
      <name val="Arial"/>
      <b val="1"/>
      <color rgb="FFFFFFFF"/>
      <sz val="14"/>
    </font>
    <font>
      <name val="Arial"/>
      <i val="1"/>
      <color rgb="FF888888"/>
      <sz val="9"/>
    </font>
    <font>
      <name val="Arial"/>
      <b val="1"/>
      <color rgb="FFFFFFFF"/>
      <sz val="9"/>
    </font>
    <font>
      <name val="Arial"/>
      <b val="1"/>
      <color rgb="FFFFFFFF"/>
      <sz val="16"/>
    </font>
    <font>
      <name val="Arial"/>
      <b val="1"/>
      <color rgb="FF000080"/>
      <sz val="11"/>
    </font>
    <font>
      <name val="Arial"/>
      <color rgb="FF000000"/>
      <sz val="10"/>
    </font>
    <font>
      <name val="Arial"/>
      <b val="1"/>
      <color rgb="FFFF6600"/>
      <sz val="10"/>
    </font>
    <font>
      <name val="Arial"/>
      <b val="1"/>
      <color rgb="FF8B0000"/>
      <sz val="10"/>
    </font>
  </fonts>
  <fills count="9">
    <fill>
      <patternFill/>
    </fill>
    <fill>
      <patternFill patternType="gray125"/>
    </fill>
    <fill>
      <patternFill patternType="solid">
        <fgColor rgb="FF0D0D1A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F0F0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 Tolerance Clock Position (1960–present)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Charts'!B1</f>
            </strRef>
          </tx>
          <spPr>
            <a:ln xmlns:a="http://schemas.openxmlformats.org/drawingml/2006/main" w="20000">
              <a:solidFill>
                <a:srgbClr val="6C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Charts'!$A$2:$A$43</f>
            </numRef>
          </cat>
          <val>
            <numRef>
              <f>'📈 Charts'!$B$2:$B$43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(-10 = Maximum Harm)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Velocity &amp; Acceleration (Pendulum Dynamics)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Charts'!C1</f>
            </strRef>
          </tx>
          <spPr>
            <a:ln xmlns:a="http://schemas.openxmlformats.org/drawingml/2006/main" w="18000">
              <a:solidFill>
                <a:srgbClr val="408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Charts'!$A$2:$A$43</f>
            </numRef>
          </cat>
          <val>
            <numRef>
              <f>'📈 Charts'!$C$2:$C$43</f>
            </numRef>
          </val>
        </ser>
        <ser>
          <idx val="1"/>
          <order val="1"/>
          <tx>
            <strRef>
              <f>'📈 Charts'!D1</f>
            </strRef>
          </tx>
          <spPr>
            <a:ln xmlns:a="http://schemas.openxmlformats.org/drawingml/2006/main" w="15000">
              <a:solidFill>
                <a:srgbClr val="FF40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Charts'!$A$2:$A$43</f>
            </numRef>
          </cat>
          <val>
            <numRef>
              <f>'📈 Charts'!$D$2:$D$43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of 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1" ht="10" customHeight="1"/>
    <row r="2" ht="40" customHeight="1">
      <c r="B2" s="1" t="inlineStr">
        <is>
          <t>CEREBRO — HARM TOLERANCE CLOCK / PHASE 1</t>
        </is>
      </c>
    </row>
    <row r="3" ht="22" customHeight="1">
      <c r="B3" s="2" t="inlineStr">
        <is>
          <t>Pendulum Dynamics Engine | The Forgotten Code Research Institute</t>
        </is>
      </c>
    </row>
    <row r="7" ht="20" customHeight="1">
      <c r="B7" s="3" t="inlineStr"/>
      <c r="C7" s="4" t="inlineStr"/>
    </row>
    <row r="8" ht="20" customHeight="1">
      <c r="B8" s="5" t="inlineStr">
        <is>
          <t>WHAT THIS IS</t>
        </is>
      </c>
      <c r="C8" s="6" t="inlineStr">
        <is>
          <t>A predictive engine measuring the Harm Tolerance Clock — one of four clocks in the Cerebro system. Harm Tolerance tracks how much harm a society allows its members to inflict on each other and themselves, across three dimensions: structural (laws, institutions), normative (attitudes), and behavioral (what people actually do).</t>
        </is>
      </c>
    </row>
    <row r="9" ht="20" customHeight="1">
      <c r="B9" s="3" t="inlineStr"/>
      <c r="C9" s="4" t="inlineStr"/>
    </row>
    <row r="10" ht="20" customHeight="1">
      <c r="B10" s="5" t="inlineStr">
        <is>
          <t>THE PHYSICS</t>
        </is>
      </c>
      <c r="C10" s="6" t="inlineStr">
        <is>
          <t>At the nadir of a pendulum's swing, velocity is maximum. 'Rock bottom' is a static metaphor — this engine uses a kinetic model. The predictive signal is not 'how bad is it' but 'is the downward acceleration decelerating?' That inflection = the Saddle Point = maximum momentum loading for reversal.</t>
        </is>
      </c>
    </row>
    <row r="11" ht="20" customHeight="1">
      <c r="B11" s="3" t="inlineStr"/>
      <c r="C11" s="4" t="inlineStr"/>
    </row>
    <row r="12" ht="48" customHeight="1">
      <c r="B12" s="5" t="inlineStr">
        <is>
          <t>THREE LAYERS</t>
        </is>
      </c>
      <c r="C12" s="6" t="inlineStr">
        <is>
          <t>POSITION: Where is the clock on its axis right now? (-10 = maximum harm; +10 = maximum protection)
VELOCITY: How fast is it changing, and in what direction?
ACCELERATION: Is velocity speeding up or slowing down? When deceleration hits zero = SADDLE SIGNAL.</t>
        </is>
      </c>
    </row>
    <row r="13" ht="20" customHeight="1">
      <c r="B13" s="3" t="inlineStr"/>
      <c r="C13" s="4" t="inlineStr"/>
    </row>
    <row r="14" ht="112" customHeight="1">
      <c r="B14" s="5" t="inlineStr">
        <is>
          <t>DATA SOURCES</t>
        </is>
      </c>
      <c r="C14" s="6" t="inlineStr">
        <is>
          <t>C1 Homicide Rate: FBI UCR 1960-2022 (embedded)
C2 Drug Overdose Deaths: CDC NCHS 1968-2022 (embedded)
C3 Incarceration Rate: BJS National Prisoner Statistics 1960-2022 (embedded)
A1 Unemployment Rate: FRED UNRATE (live pull)
A2 Labor Force Participation: FRED CIVPART (live pull)
A3 Median Household Income: FRED MEHOINUSA672N (live pull)
B RING: ⚠ PLACEHOLDER — load GSS/Gallup CSVs to populate</t>
        </is>
      </c>
    </row>
    <row r="15" ht="20" customHeight="1">
      <c r="B15" s="3" t="inlineStr"/>
      <c r="C15" s="4" t="inlineStr"/>
    </row>
    <row r="16" ht="48" customHeight="1">
      <c r="B16" s="5" t="inlineStr">
        <is>
          <t>SADDLE SIGNAL</t>
        </is>
      </c>
      <c r="C16" s="6" t="inlineStr">
        <is>
          <t>Score 1 = Weak signal
Score 2 = Moderate (sector-level inflection possible)
Score 3 = STRONG ⚡ (era-level inflection — watch leading indicators now)</t>
        </is>
      </c>
    </row>
    <row r="17" ht="20" customHeight="1">
      <c r="B17" s="3" t="inlineStr"/>
      <c r="C17" s="4" t="inlineStr"/>
    </row>
    <row r="18" ht="96" customHeight="1">
      <c r="B18" s="5" t="inlineStr">
        <is>
          <t>NEXT STEPS</t>
        </is>
      </c>
      <c r="C18" s="6" t="inlineStr">
        <is>
          <t>1. Download GSS data for Ring B attitudes (gssdataexplorer.norc.org)
2. Download Gallup tough-on-crime series
3. Add GDELT media tone velocity column
4. Validate saddle detections against known historical turning points
5. Replicate for other 3 clocks
6. Build Composite Pressure Index across all clocks</t>
        </is>
      </c>
    </row>
    <row r="19" ht="20" customHeight="1">
      <c r="B19" s="3" t="inlineStr"/>
      <c r="C19" s="4" t="inlineStr"/>
    </row>
    <row r="20" ht="80" customHeight="1">
      <c r="B20" s="5" t="inlineStr">
        <is>
          <t>TABS IN THIS FILE</t>
        </is>
      </c>
      <c r="C20" s="6" t="inlineStr">
        <is>
          <t>📋 README — This page
📊 Raw Data — All raw indicator series by year
⚙ Clock Engine — Position, Velocity, Acceleration, Saddle scores
📈 Charts — Visual clock history
🔮 Saddle Signals — Saddle detection events only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7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25" customWidth="1" min="4" max="4"/>
    <col width="22" customWidth="1" min="5" max="5"/>
    <col width="22" customWidth="1" min="6" max="6"/>
    <col width="25" customWidth="1" min="7" max="7"/>
    <col width="25" customWidth="1" min="8" max="8"/>
  </cols>
  <sheetData>
    <row r="1" ht="10" customHeight="1"/>
    <row r="2" ht="14" customHeight="1"/>
    <row r="3" ht="36" customHeight="1">
      <c r="A3" s="7" t="inlineStr">
        <is>
          <t>Year</t>
        </is>
      </c>
      <c r="B3" s="7" t="inlineStr">
        <is>
          <t>Unemployment Rate (%)</t>
        </is>
      </c>
      <c r="C3" s="7" t="inlineStr">
        <is>
          <t>Labor Force Participation (%)</t>
        </is>
      </c>
      <c r="D3" s="7" t="inlineStr">
        <is>
          <t>Median HH Income (2022$)</t>
        </is>
      </c>
      <c r="E3" s="7" t="inlineStr">
        <is>
          <t>Personal Saving Rate (%)</t>
        </is>
      </c>
      <c r="F3" s="7" t="inlineStr">
        <is>
          <t>Homicide Rate (per 100k)</t>
        </is>
      </c>
      <c r="G3" s="7" t="inlineStr">
        <is>
          <t>Incarceration Rate (per 100k)</t>
        </is>
      </c>
      <c r="H3" s="7" t="inlineStr">
        <is>
          <t>OD Death Rate (per 100k)</t>
        </is>
      </c>
    </row>
    <row r="4" ht="16" customHeight="1">
      <c r="A4" s="8" t="n">
        <v>0</v>
      </c>
      <c r="B4" s="9" t="n">
        <v>5.5</v>
      </c>
      <c r="C4" s="9" t="n">
        <v>59.4</v>
      </c>
      <c r="D4" s="9" t="inlineStr"/>
      <c r="E4" s="9" t="n">
        <v>10.1</v>
      </c>
      <c r="F4" s="9" t="n">
        <v>5.1</v>
      </c>
      <c r="G4" s="9" t="n">
        <v>117</v>
      </c>
      <c r="H4" s="9" t="inlineStr"/>
    </row>
    <row r="5" ht="16" customHeight="1">
      <c r="A5" s="10" t="n">
        <v>1</v>
      </c>
      <c r="B5" s="11" t="n">
        <v>6.7</v>
      </c>
      <c r="C5" s="11" t="n">
        <v>59.3</v>
      </c>
      <c r="D5" s="11" t="inlineStr"/>
      <c r="E5" s="11" t="n">
        <v>11.3</v>
      </c>
      <c r="F5" s="11" t="n">
        <v>4.8</v>
      </c>
      <c r="G5" s="11" t="n">
        <v>119</v>
      </c>
      <c r="H5" s="11" t="inlineStr"/>
    </row>
    <row r="6" ht="16" customHeight="1">
      <c r="A6" s="8" t="n">
        <v>2</v>
      </c>
      <c r="B6" s="9" t="n">
        <v>5.6</v>
      </c>
      <c r="C6" s="9" t="n">
        <v>58.8</v>
      </c>
      <c r="D6" s="9" t="inlineStr"/>
      <c r="E6" s="9" t="n">
        <v>11.2</v>
      </c>
      <c r="F6" s="9" t="n">
        <v>4.6</v>
      </c>
      <c r="G6" s="9" t="n">
        <v>115</v>
      </c>
      <c r="H6" s="9" t="inlineStr"/>
    </row>
    <row r="7" ht="16" customHeight="1">
      <c r="A7" s="10" t="n">
        <v>3</v>
      </c>
      <c r="B7" s="11" t="n">
        <v>5.6</v>
      </c>
      <c r="C7" s="11" t="n">
        <v>58.7</v>
      </c>
      <c r="D7" s="11" t="inlineStr"/>
      <c r="E7" s="11" t="n">
        <v>10.7</v>
      </c>
      <c r="F7" s="11" t="n">
        <v>4.6</v>
      </c>
      <c r="G7" s="11" t="n">
        <v>114</v>
      </c>
      <c r="H7" s="11" t="inlineStr"/>
    </row>
    <row r="8" ht="16" customHeight="1">
      <c r="A8" s="8" t="n">
        <v>4</v>
      </c>
      <c r="B8" s="9" t="n">
        <v>5.2</v>
      </c>
      <c r="C8" s="9" t="n">
        <v>58.7</v>
      </c>
      <c r="D8" s="9" t="inlineStr"/>
      <c r="E8" s="9" t="n">
        <v>11.6</v>
      </c>
      <c r="F8" s="9" t="n">
        <v>4.9</v>
      </c>
      <c r="G8" s="9" t="n">
        <v>111</v>
      </c>
      <c r="H8" s="9" t="inlineStr"/>
    </row>
    <row r="9" ht="16" customHeight="1">
      <c r="A9" s="10" t="n">
        <v>5</v>
      </c>
      <c r="B9" s="11" t="n">
        <v>4.5</v>
      </c>
      <c r="C9" s="11" t="n">
        <v>58.8</v>
      </c>
      <c r="D9" s="11" t="inlineStr"/>
      <c r="E9" s="11" t="n">
        <v>11.4</v>
      </c>
      <c r="F9" s="11" t="n">
        <v>5.1</v>
      </c>
      <c r="G9" s="11" t="n">
        <v>108</v>
      </c>
      <c r="H9" s="11" t="inlineStr"/>
    </row>
    <row r="10" ht="16" customHeight="1">
      <c r="A10" s="8" t="n">
        <v>6</v>
      </c>
      <c r="B10" s="9" t="n">
        <v>3.8</v>
      </c>
      <c r="C10" s="9" t="n">
        <v>59.2</v>
      </c>
      <c r="D10" s="9" t="inlineStr"/>
      <c r="E10" s="9" t="n">
        <v>11.2</v>
      </c>
      <c r="F10" s="9" t="n">
        <v>5.6</v>
      </c>
      <c r="G10" s="9" t="n">
        <v>102</v>
      </c>
      <c r="H10" s="9" t="inlineStr"/>
    </row>
    <row r="11" ht="16" customHeight="1">
      <c r="A11" s="10" t="n">
        <v>7</v>
      </c>
      <c r="B11" s="11" t="n">
        <v>3.8</v>
      </c>
      <c r="C11" s="11" t="n">
        <v>59.6</v>
      </c>
      <c r="D11" s="11" t="inlineStr"/>
      <c r="E11" s="11" t="n">
        <v>12.3</v>
      </c>
      <c r="F11" s="11" t="n">
        <v>6.2</v>
      </c>
      <c r="G11" s="11" t="n">
        <v>98</v>
      </c>
      <c r="H11" s="11" t="inlineStr"/>
    </row>
    <row r="12" ht="16" customHeight="1">
      <c r="A12" s="8" t="n">
        <v>8</v>
      </c>
      <c r="B12" s="9" t="n">
        <v>3.6</v>
      </c>
      <c r="C12" s="9" t="n">
        <v>59.6</v>
      </c>
      <c r="D12" s="9" t="inlineStr"/>
      <c r="E12" s="9" t="n">
        <v>11.3</v>
      </c>
      <c r="F12" s="9" t="n">
        <v>6.9</v>
      </c>
      <c r="G12" s="9" t="n">
        <v>94</v>
      </c>
      <c r="H12" s="9" t="n">
        <v>1.6</v>
      </c>
    </row>
    <row r="13" ht="16" customHeight="1">
      <c r="A13" s="10" t="n">
        <v>9</v>
      </c>
      <c r="B13" s="11" t="n">
        <v>3.5</v>
      </c>
      <c r="C13" s="11" t="n">
        <v>60.1</v>
      </c>
      <c r="D13" s="11" t="inlineStr"/>
      <c r="E13" s="11" t="n">
        <v>10.9</v>
      </c>
      <c r="F13" s="11" t="n">
        <v>7.3</v>
      </c>
      <c r="G13" s="11" t="n">
        <v>97</v>
      </c>
      <c r="H13" s="11" t="n">
        <v>1.7</v>
      </c>
    </row>
    <row r="14" ht="16" customHeight="1">
      <c r="A14" s="8" t="n">
        <v>10</v>
      </c>
      <c r="B14" s="9" t="n">
        <v>5</v>
      </c>
      <c r="C14" s="9" t="n">
        <v>60.4</v>
      </c>
      <c r="D14" s="9" t="inlineStr"/>
      <c r="E14" s="9" t="n">
        <v>12.8</v>
      </c>
      <c r="F14" s="9" t="n">
        <v>7.9</v>
      </c>
      <c r="G14" s="9" t="n">
        <v>96</v>
      </c>
      <c r="H14" s="9" t="n">
        <v>1.9</v>
      </c>
    </row>
    <row r="15" ht="16" customHeight="1">
      <c r="A15" s="10" t="n">
        <v>11</v>
      </c>
      <c r="B15" s="11" t="n">
        <v>6</v>
      </c>
      <c r="C15" s="11" t="n">
        <v>60.2</v>
      </c>
      <c r="D15" s="11" t="inlineStr"/>
      <c r="E15" s="11" t="n">
        <v>13.5</v>
      </c>
      <c r="F15" s="11" t="n">
        <v>8.6</v>
      </c>
      <c r="G15" s="11" t="n">
        <v>95</v>
      </c>
      <c r="H15" s="11" t="n">
        <v>2.2</v>
      </c>
    </row>
    <row r="16" ht="16" customHeight="1">
      <c r="A16" s="8" t="n">
        <v>12</v>
      </c>
      <c r="B16" s="9" t="n">
        <v>5.6</v>
      </c>
      <c r="C16" s="9" t="n">
        <v>60.4</v>
      </c>
      <c r="D16" s="9" t="inlineStr"/>
      <c r="E16" s="9" t="n">
        <v>12.4</v>
      </c>
      <c r="F16" s="9" t="n">
        <v>9</v>
      </c>
      <c r="G16" s="9" t="n">
        <v>93</v>
      </c>
      <c r="H16" s="9" t="n">
        <v>2.3</v>
      </c>
    </row>
    <row r="17" ht="16" customHeight="1">
      <c r="A17" s="10" t="n">
        <v>13</v>
      </c>
      <c r="B17" s="11" t="n">
        <v>4.9</v>
      </c>
      <c r="C17" s="11" t="n">
        <v>60.8</v>
      </c>
      <c r="D17" s="11" t="inlineStr"/>
      <c r="E17" s="11" t="n">
        <v>13.5</v>
      </c>
      <c r="F17" s="11" t="n">
        <v>9.4</v>
      </c>
      <c r="G17" s="11" t="n">
        <v>96</v>
      </c>
      <c r="H17" s="11" t="n">
        <v>2.1</v>
      </c>
    </row>
    <row r="18" ht="16" customHeight="1">
      <c r="A18" s="8" t="n">
        <v>14</v>
      </c>
      <c r="B18" s="9" t="n">
        <v>5.6</v>
      </c>
      <c r="C18" s="9" t="n">
        <v>61.3</v>
      </c>
      <c r="D18" s="9" t="inlineStr"/>
      <c r="E18" s="9" t="n">
        <v>13.3</v>
      </c>
      <c r="F18" s="9" t="n">
        <v>9.800000000000001</v>
      </c>
      <c r="G18" s="9" t="n">
        <v>102</v>
      </c>
      <c r="H18" s="9" t="n">
        <v>2.2</v>
      </c>
    </row>
    <row r="19" ht="16" customHeight="1">
      <c r="A19" s="10" t="n">
        <v>15</v>
      </c>
      <c r="B19" s="11" t="n">
        <v>8.5</v>
      </c>
      <c r="C19" s="11" t="n">
        <v>61.2</v>
      </c>
      <c r="D19" s="11" t="inlineStr"/>
      <c r="E19" s="11" t="n">
        <v>13.4</v>
      </c>
      <c r="F19" s="11" t="n">
        <v>9.6</v>
      </c>
      <c r="G19" s="11" t="n">
        <v>111</v>
      </c>
      <c r="H19" s="11" t="n">
        <v>2.2</v>
      </c>
    </row>
    <row r="20" ht="16" customHeight="1">
      <c r="A20" s="8" t="n">
        <v>16</v>
      </c>
      <c r="B20" s="9" t="n">
        <v>7.7</v>
      </c>
      <c r="C20" s="9" t="n">
        <v>61.6</v>
      </c>
      <c r="D20" s="9" t="inlineStr"/>
      <c r="E20" s="9" t="n">
        <v>11.6</v>
      </c>
      <c r="F20" s="9" t="n">
        <v>8.699999999999999</v>
      </c>
      <c r="G20" s="9" t="n">
        <v>120</v>
      </c>
      <c r="H20" s="9" t="n">
        <v>2.1</v>
      </c>
    </row>
    <row r="21" ht="16" customHeight="1">
      <c r="A21" s="10" t="n">
        <v>17</v>
      </c>
      <c r="B21" s="11" t="n">
        <v>7.1</v>
      </c>
      <c r="C21" s="11" t="n">
        <v>62.2</v>
      </c>
      <c r="D21" s="11" t="inlineStr"/>
      <c r="E21" s="11" t="n">
        <v>10.7</v>
      </c>
      <c r="F21" s="11" t="n">
        <v>8.800000000000001</v>
      </c>
      <c r="G21" s="11" t="n">
        <v>129</v>
      </c>
      <c r="H21" s="11" t="n">
        <v>2.2</v>
      </c>
    </row>
    <row r="22" ht="16" customHeight="1">
      <c r="A22" s="8" t="n">
        <v>18</v>
      </c>
      <c r="B22" s="9" t="n">
        <v>6.1</v>
      </c>
      <c r="C22" s="9" t="n">
        <v>63.2</v>
      </c>
      <c r="D22" s="9" t="inlineStr"/>
      <c r="E22" s="9" t="n">
        <v>10.7</v>
      </c>
      <c r="F22" s="9" t="n">
        <v>9</v>
      </c>
      <c r="G22" s="9" t="n">
        <v>132</v>
      </c>
      <c r="H22" s="9" t="n">
        <v>2.2</v>
      </c>
    </row>
    <row r="23" ht="16" customHeight="1">
      <c r="A23" s="10" t="n">
        <v>19</v>
      </c>
      <c r="B23" s="11" t="n">
        <v>5.9</v>
      </c>
      <c r="C23" s="11" t="n">
        <v>63.7</v>
      </c>
      <c r="D23" s="11" t="inlineStr"/>
      <c r="E23" s="11" t="n">
        <v>10.3</v>
      </c>
      <c r="F23" s="11" t="n">
        <v>9.699999999999999</v>
      </c>
      <c r="G23" s="11" t="n">
        <v>133</v>
      </c>
      <c r="H23" s="11" t="n">
        <v>2.4</v>
      </c>
    </row>
    <row r="24" ht="16" customHeight="1">
      <c r="A24" s="8" t="n">
        <v>20</v>
      </c>
      <c r="B24" s="9" t="n">
        <v>7.2</v>
      </c>
      <c r="C24" s="9" t="n">
        <v>63.8</v>
      </c>
      <c r="D24" s="9" t="inlineStr"/>
      <c r="E24" s="9" t="n">
        <v>11.1</v>
      </c>
      <c r="F24" s="9" t="n">
        <v>10.2</v>
      </c>
      <c r="G24" s="9" t="n">
        <v>139</v>
      </c>
      <c r="H24" s="9" t="n">
        <v>2.5</v>
      </c>
    </row>
    <row r="25" ht="16" customHeight="1">
      <c r="A25" s="10" t="n">
        <v>21</v>
      </c>
      <c r="B25" s="11" t="n">
        <v>7.6</v>
      </c>
      <c r="C25" s="11" t="n">
        <v>63.9</v>
      </c>
      <c r="D25" s="11" t="inlineStr"/>
      <c r="E25" s="11" t="n">
        <v>11.7</v>
      </c>
      <c r="F25" s="11" t="n">
        <v>9.800000000000001</v>
      </c>
      <c r="G25" s="11" t="n">
        <v>154</v>
      </c>
      <c r="H25" s="11" t="n">
        <v>2.3</v>
      </c>
    </row>
    <row r="26" ht="16" customHeight="1">
      <c r="A26" s="8" t="n">
        <v>22</v>
      </c>
      <c r="B26" s="9" t="n">
        <v>9.699999999999999</v>
      </c>
      <c r="C26" s="9" t="n">
        <v>64</v>
      </c>
      <c r="D26" s="9" t="inlineStr"/>
      <c r="E26" s="9" t="n">
        <v>12</v>
      </c>
      <c r="F26" s="9" t="n">
        <v>9.1</v>
      </c>
      <c r="G26" s="9" t="n">
        <v>170</v>
      </c>
      <c r="H26" s="9" t="n">
        <v>2.3</v>
      </c>
    </row>
    <row r="27" ht="16" customHeight="1">
      <c r="A27" s="10" t="n">
        <v>23</v>
      </c>
      <c r="B27" s="11" t="n">
        <v>9.6</v>
      </c>
      <c r="C27" s="11" t="n">
        <v>64</v>
      </c>
      <c r="D27" s="11" t="inlineStr"/>
      <c r="E27" s="11" t="n">
        <v>10.1</v>
      </c>
      <c r="F27" s="11" t="n">
        <v>8.300000000000001</v>
      </c>
      <c r="G27" s="11" t="n">
        <v>178</v>
      </c>
      <c r="H27" s="11" t="n">
        <v>2.3</v>
      </c>
    </row>
    <row r="28" ht="16" customHeight="1">
      <c r="A28" s="8" t="n">
        <v>24</v>
      </c>
      <c r="B28" s="9" t="n">
        <v>7.5</v>
      </c>
      <c r="C28" s="9" t="n">
        <v>64.40000000000001</v>
      </c>
      <c r="D28" s="9" t="n">
        <v>60420</v>
      </c>
      <c r="E28" s="9" t="n">
        <v>11.2</v>
      </c>
      <c r="F28" s="9" t="n">
        <v>7.9</v>
      </c>
      <c r="G28" s="9" t="n">
        <v>188</v>
      </c>
      <c r="H28" s="9" t="n">
        <v>2.4</v>
      </c>
    </row>
    <row r="29" ht="16" customHeight="1">
      <c r="A29" s="10" t="n">
        <v>25</v>
      </c>
      <c r="B29" s="11" t="n">
        <v>7.2</v>
      </c>
      <c r="C29" s="11" t="n">
        <v>64.8</v>
      </c>
      <c r="D29" s="11" t="n">
        <v>61570</v>
      </c>
      <c r="E29" s="11" t="n">
        <v>9.1</v>
      </c>
      <c r="F29" s="11" t="n">
        <v>8</v>
      </c>
      <c r="G29" s="11" t="n">
        <v>202</v>
      </c>
      <c r="H29" s="11" t="n">
        <v>2.5</v>
      </c>
    </row>
    <row r="30" ht="16" customHeight="1">
      <c r="A30" s="8" t="n">
        <v>26</v>
      </c>
      <c r="B30" s="9" t="n">
        <v>7</v>
      </c>
      <c r="C30" s="9" t="n">
        <v>65.2</v>
      </c>
      <c r="D30" s="9" t="n">
        <v>63850</v>
      </c>
      <c r="E30" s="9" t="n">
        <v>8.800000000000001</v>
      </c>
      <c r="F30" s="9" t="n">
        <v>8.6</v>
      </c>
      <c r="G30" s="9" t="n">
        <v>216</v>
      </c>
      <c r="H30" s="9" t="n">
        <v>2.8</v>
      </c>
    </row>
    <row r="31" ht="16" customHeight="1">
      <c r="A31" s="10" t="n">
        <v>27</v>
      </c>
      <c r="B31" s="11" t="n">
        <v>6.2</v>
      </c>
      <c r="C31" s="11" t="n">
        <v>65.59999999999999</v>
      </c>
      <c r="D31" s="11" t="n">
        <v>64650</v>
      </c>
      <c r="E31" s="11" t="n">
        <v>7.5</v>
      </c>
      <c r="F31" s="11" t="n">
        <v>8.300000000000001</v>
      </c>
      <c r="G31" s="11" t="n">
        <v>231</v>
      </c>
      <c r="H31" s="11" t="n">
        <v>2.9</v>
      </c>
    </row>
    <row r="32" ht="16" customHeight="1">
      <c r="A32" s="8" t="n">
        <v>28</v>
      </c>
      <c r="B32" s="9" t="n">
        <v>5.5</v>
      </c>
      <c r="C32" s="9" t="n">
        <v>65.90000000000001</v>
      </c>
      <c r="D32" s="9" t="n">
        <v>65130</v>
      </c>
      <c r="E32" s="9" t="n">
        <v>8.4</v>
      </c>
      <c r="F32" s="9" t="n">
        <v>8.5</v>
      </c>
      <c r="G32" s="9" t="n">
        <v>247</v>
      </c>
      <c r="H32" s="9" t="n">
        <v>3.1</v>
      </c>
    </row>
    <row r="33" ht="16" customHeight="1">
      <c r="A33" s="10" t="n">
        <v>29</v>
      </c>
      <c r="B33" s="11" t="n">
        <v>5.3</v>
      </c>
      <c r="C33" s="11" t="n">
        <v>66.40000000000001</v>
      </c>
      <c r="D33" s="11" t="n">
        <v>66240</v>
      </c>
      <c r="E33" s="11" t="n">
        <v>8.300000000000001</v>
      </c>
      <c r="F33" s="11" t="n">
        <v>8.699999999999999</v>
      </c>
      <c r="G33" s="11" t="n">
        <v>276</v>
      </c>
      <c r="H33" s="11" t="n">
        <v>3.4</v>
      </c>
    </row>
    <row r="34" ht="16" customHeight="1">
      <c r="A34" s="8" t="n">
        <v>30</v>
      </c>
      <c r="B34" s="9" t="n">
        <v>5.6</v>
      </c>
      <c r="C34" s="9" t="n">
        <v>66.5</v>
      </c>
      <c r="D34" s="9" t="n">
        <v>65440</v>
      </c>
      <c r="E34" s="9" t="n">
        <v>8.4</v>
      </c>
      <c r="F34" s="9" t="n">
        <v>9.4</v>
      </c>
      <c r="G34" s="9" t="n">
        <v>297</v>
      </c>
      <c r="H34" s="9" t="n">
        <v>3.4</v>
      </c>
    </row>
    <row r="35" ht="16" customHeight="1">
      <c r="A35" s="10" t="n">
        <v>31</v>
      </c>
      <c r="B35" s="11" t="n">
        <v>6.9</v>
      </c>
      <c r="C35" s="11" t="n">
        <v>66.2</v>
      </c>
      <c r="D35" s="11" t="n">
        <v>63530</v>
      </c>
      <c r="E35" s="11" t="n">
        <v>8.9</v>
      </c>
      <c r="F35" s="11" t="n">
        <v>9.800000000000001</v>
      </c>
      <c r="G35" s="11" t="n">
        <v>313</v>
      </c>
      <c r="H35" s="11" t="n">
        <v>3.5</v>
      </c>
    </row>
    <row r="36" ht="16" customHeight="1">
      <c r="A36" s="8" t="n">
        <v>32</v>
      </c>
      <c r="B36" s="9" t="n">
        <v>7.5</v>
      </c>
      <c r="C36" s="9" t="n">
        <v>66.40000000000001</v>
      </c>
      <c r="D36" s="9" t="n">
        <v>63010</v>
      </c>
      <c r="E36" s="9" t="n">
        <v>9.4</v>
      </c>
      <c r="F36" s="9" t="n">
        <v>9.300000000000001</v>
      </c>
      <c r="G36" s="9" t="n">
        <v>332</v>
      </c>
      <c r="H36" s="9" t="n">
        <v>3.5</v>
      </c>
    </row>
    <row r="37" ht="16" customHeight="1">
      <c r="A37" s="10" t="n">
        <v>33</v>
      </c>
      <c r="B37" s="11" t="n">
        <v>6.9</v>
      </c>
      <c r="C37" s="11" t="n">
        <v>66.3</v>
      </c>
      <c r="D37" s="11" t="n">
        <v>62700</v>
      </c>
      <c r="E37" s="11" t="n">
        <v>7.8</v>
      </c>
      <c r="F37" s="11" t="n">
        <v>9.5</v>
      </c>
      <c r="G37" s="11" t="n">
        <v>359</v>
      </c>
      <c r="H37" s="11" t="n">
        <v>3.8</v>
      </c>
    </row>
    <row r="38" ht="16" customHeight="1">
      <c r="A38" s="8" t="n">
        <v>34</v>
      </c>
      <c r="B38" s="9" t="n">
        <v>6.1</v>
      </c>
      <c r="C38" s="9" t="n">
        <v>66.59999999999999</v>
      </c>
      <c r="D38" s="9" t="n">
        <v>63370</v>
      </c>
      <c r="E38" s="9" t="n">
        <v>6.8</v>
      </c>
      <c r="F38" s="9" t="n">
        <v>9</v>
      </c>
      <c r="G38" s="9" t="n">
        <v>389</v>
      </c>
      <c r="H38" s="9" t="n">
        <v>3.9</v>
      </c>
    </row>
    <row r="39" ht="16" customHeight="1">
      <c r="A39" s="10" t="n">
        <v>35</v>
      </c>
      <c r="B39" s="11" t="n">
        <v>5.6</v>
      </c>
      <c r="C39" s="11" t="n">
        <v>66.59999999999999</v>
      </c>
      <c r="D39" s="11" t="n">
        <v>65380</v>
      </c>
      <c r="E39" s="11" t="n">
        <v>6.9</v>
      </c>
      <c r="F39" s="11" t="n">
        <v>8.199999999999999</v>
      </c>
      <c r="G39" s="11" t="n">
        <v>411</v>
      </c>
      <c r="H39" s="11" t="n">
        <v>4</v>
      </c>
    </row>
    <row r="40" ht="16" customHeight="1">
      <c r="A40" s="8" t="n">
        <v>36</v>
      </c>
      <c r="B40" s="9" t="n">
        <v>5.4</v>
      </c>
      <c r="C40" s="9" t="n">
        <v>66.8</v>
      </c>
      <c r="D40" s="9" t="n">
        <v>66340</v>
      </c>
      <c r="E40" s="9" t="n">
        <v>6.3</v>
      </c>
      <c r="F40" s="9" t="n">
        <v>7.4</v>
      </c>
      <c r="G40" s="9" t="n">
        <v>427</v>
      </c>
      <c r="H40" s="9" t="n">
        <v>4.4</v>
      </c>
    </row>
    <row r="41" ht="16" customHeight="1">
      <c r="A41" s="10" t="n">
        <v>37</v>
      </c>
      <c r="B41" s="11" t="n">
        <v>4.9</v>
      </c>
      <c r="C41" s="11" t="n">
        <v>67.09999999999999</v>
      </c>
      <c r="D41" s="11" t="n">
        <v>67720</v>
      </c>
      <c r="E41" s="11" t="n">
        <v>6</v>
      </c>
      <c r="F41" s="11" t="n">
        <v>6.8</v>
      </c>
      <c r="G41" s="11" t="n">
        <v>444</v>
      </c>
      <c r="H41" s="11" t="n">
        <v>4.6</v>
      </c>
    </row>
    <row r="42" ht="16" customHeight="1">
      <c r="A42" s="8" t="n">
        <v>38</v>
      </c>
      <c r="B42" s="9" t="n">
        <v>4.5</v>
      </c>
      <c r="C42" s="9" t="n">
        <v>67.09999999999999</v>
      </c>
      <c r="D42" s="9" t="n">
        <v>70200</v>
      </c>
      <c r="E42" s="9" t="n">
        <v>6.5</v>
      </c>
      <c r="F42" s="9" t="n">
        <v>6.3</v>
      </c>
      <c r="G42" s="9" t="n">
        <v>461</v>
      </c>
      <c r="H42" s="9" t="n">
        <v>4.5</v>
      </c>
    </row>
    <row r="43" ht="16" customHeight="1">
      <c r="A43" s="10" t="n">
        <v>39</v>
      </c>
      <c r="B43" s="11" t="n">
        <v>4.2</v>
      </c>
      <c r="C43" s="11" t="n">
        <v>67.09999999999999</v>
      </c>
      <c r="D43" s="11" t="n">
        <v>71980</v>
      </c>
      <c r="E43" s="11" t="n">
        <v>4.6</v>
      </c>
      <c r="F43" s="11" t="n">
        <v>5.7</v>
      </c>
      <c r="G43" s="11" t="n">
        <v>476</v>
      </c>
      <c r="H43" s="11" t="n">
        <v>4.6</v>
      </c>
    </row>
    <row r="44" ht="16" customHeight="1">
      <c r="A44" s="8" t="n">
        <v>40</v>
      </c>
      <c r="B44" s="9" t="n">
        <v>4</v>
      </c>
      <c r="C44" s="9" t="n">
        <v>67.09999999999999</v>
      </c>
      <c r="D44" s="9" t="n">
        <v>71790</v>
      </c>
      <c r="E44" s="9" t="n">
        <v>4.3</v>
      </c>
      <c r="F44" s="9" t="n">
        <v>5.5</v>
      </c>
      <c r="G44" s="9" t="n">
        <v>478</v>
      </c>
      <c r="H44" s="9" t="n">
        <v>4.9</v>
      </c>
    </row>
    <row r="45" ht="16" customHeight="1">
      <c r="A45" s="10" t="n">
        <v>41</v>
      </c>
      <c r="B45" s="11" t="n">
        <v>4.7</v>
      </c>
      <c r="C45" s="11" t="n">
        <v>66.8</v>
      </c>
      <c r="D45" s="11" t="n">
        <v>70610</v>
      </c>
      <c r="E45" s="11" t="n">
        <v>4.7</v>
      </c>
      <c r="F45" s="11" t="n">
        <v>5.6</v>
      </c>
      <c r="G45" s="11" t="n">
        <v>470</v>
      </c>
      <c r="H45" s="11" t="n">
        <v>5.5</v>
      </c>
    </row>
    <row r="46" ht="16" customHeight="1">
      <c r="A46" s="8" t="n">
        <v>42</v>
      </c>
      <c r="B46" s="9" t="n">
        <v>5.8</v>
      </c>
      <c r="C46" s="9" t="n">
        <v>66.59999999999999</v>
      </c>
      <c r="D46" s="9" t="n">
        <v>70040</v>
      </c>
      <c r="E46" s="9" t="n">
        <v>5.6</v>
      </c>
      <c r="F46" s="9" t="n">
        <v>5.6</v>
      </c>
      <c r="G46" s="9" t="n">
        <v>476</v>
      </c>
      <c r="H46" s="9" t="n">
        <v>6.9</v>
      </c>
    </row>
    <row r="47" ht="16" customHeight="1">
      <c r="A47" s="10" t="n">
        <v>43</v>
      </c>
      <c r="B47" s="11" t="n">
        <v>6</v>
      </c>
      <c r="C47" s="11" t="n">
        <v>66.2</v>
      </c>
      <c r="D47" s="11" t="n">
        <v>70080</v>
      </c>
      <c r="E47" s="11" t="n">
        <v>5.2</v>
      </c>
      <c r="F47" s="11" t="n">
        <v>5.7</v>
      </c>
      <c r="G47" s="11" t="n">
        <v>482</v>
      </c>
      <c r="H47" s="11" t="n">
        <v>7.5</v>
      </c>
    </row>
    <row r="48" ht="16" customHeight="1">
      <c r="A48" s="8" t="n">
        <v>44</v>
      </c>
      <c r="B48" s="9" t="n">
        <v>5.5</v>
      </c>
      <c r="C48" s="9" t="n">
        <v>66</v>
      </c>
      <c r="D48" s="9" t="n">
        <v>69970</v>
      </c>
      <c r="E48" s="9" t="n">
        <v>4.7</v>
      </c>
      <c r="F48" s="9" t="n">
        <v>5.5</v>
      </c>
      <c r="G48" s="9" t="n">
        <v>487</v>
      </c>
      <c r="H48" s="9" t="n">
        <v>7.9</v>
      </c>
    </row>
    <row r="49" ht="16" customHeight="1">
      <c r="A49" s="10" t="n">
        <v>45</v>
      </c>
      <c r="B49" s="11" t="n">
        <v>5.1</v>
      </c>
      <c r="C49" s="11" t="n">
        <v>66</v>
      </c>
      <c r="D49" s="11" t="n">
        <v>71060</v>
      </c>
      <c r="E49" s="11" t="n">
        <v>2.3</v>
      </c>
      <c r="F49" s="11" t="n">
        <v>5.6</v>
      </c>
      <c r="G49" s="11" t="n">
        <v>491</v>
      </c>
      <c r="H49" s="11" t="n">
        <v>8.800000000000001</v>
      </c>
    </row>
    <row r="50" ht="16" customHeight="1">
      <c r="A50" s="8" t="n">
        <v>46</v>
      </c>
      <c r="B50" s="9" t="n">
        <v>4.6</v>
      </c>
      <c r="C50" s="9" t="n">
        <v>66.2</v>
      </c>
      <c r="D50" s="9" t="n">
        <v>71850</v>
      </c>
      <c r="E50" s="9" t="n">
        <v>2.8</v>
      </c>
      <c r="F50" s="9" t="n">
        <v>5.8</v>
      </c>
      <c r="G50" s="9" t="n">
        <v>501</v>
      </c>
      <c r="H50" s="9" t="n">
        <v>10</v>
      </c>
    </row>
    <row r="51" ht="16" customHeight="1">
      <c r="A51" s="10" t="n">
        <v>47</v>
      </c>
      <c r="B51" s="11" t="n">
        <v>4.6</v>
      </c>
      <c r="C51" s="11" t="n">
        <v>66</v>
      </c>
      <c r="D51" s="11" t="n">
        <v>73010</v>
      </c>
      <c r="E51" s="11" t="n">
        <v>2.5</v>
      </c>
      <c r="F51" s="11" t="n">
        <v>5.7</v>
      </c>
      <c r="G51" s="11" t="n">
        <v>506</v>
      </c>
      <c r="H51" s="11" t="n">
        <v>10.4</v>
      </c>
    </row>
    <row r="52" ht="16" customHeight="1">
      <c r="A52" s="8" t="n">
        <v>48</v>
      </c>
      <c r="B52" s="9" t="n">
        <v>5.8</v>
      </c>
      <c r="C52" s="9" t="n">
        <v>66</v>
      </c>
      <c r="D52" s="9" t="n">
        <v>70520</v>
      </c>
      <c r="E52" s="9" t="n">
        <v>4.1</v>
      </c>
      <c r="F52" s="9" t="n">
        <v>5.4</v>
      </c>
      <c r="G52" s="9" t="n">
        <v>504</v>
      </c>
      <c r="H52" s="9" t="n">
        <v>11</v>
      </c>
    </row>
    <row r="53" ht="16" customHeight="1">
      <c r="A53" s="10" t="n">
        <v>49</v>
      </c>
      <c r="B53" s="11" t="n">
        <v>9.300000000000001</v>
      </c>
      <c r="C53" s="11" t="n">
        <v>65.40000000000001</v>
      </c>
      <c r="D53" s="11" t="n">
        <v>70070</v>
      </c>
      <c r="E53" s="11" t="n">
        <v>5.7</v>
      </c>
      <c r="F53" s="11" t="n">
        <v>5</v>
      </c>
      <c r="G53" s="11" t="n">
        <v>502</v>
      </c>
      <c r="H53" s="11" t="n">
        <v>11.6</v>
      </c>
    </row>
    <row r="54" ht="16" customHeight="1">
      <c r="A54" s="8" t="n">
        <v>50</v>
      </c>
      <c r="B54" s="9" t="n">
        <v>9.6</v>
      </c>
      <c r="C54" s="9" t="n">
        <v>64.7</v>
      </c>
      <c r="D54" s="9" t="n">
        <v>68420</v>
      </c>
      <c r="E54" s="9" t="n">
        <v>5.9</v>
      </c>
      <c r="F54" s="9" t="n">
        <v>4.8</v>
      </c>
      <c r="G54" s="9" t="n">
        <v>500</v>
      </c>
      <c r="H54" s="9" t="n">
        <v>12.3</v>
      </c>
    </row>
    <row r="55" ht="16" customHeight="1">
      <c r="A55" s="10" t="n">
        <v>51</v>
      </c>
      <c r="B55" s="11" t="n">
        <v>8.9</v>
      </c>
      <c r="C55" s="11" t="n">
        <v>64.09999999999999</v>
      </c>
      <c r="D55" s="11" t="n">
        <v>67410</v>
      </c>
      <c r="E55" s="11" t="n">
        <v>6.6</v>
      </c>
      <c r="F55" s="11" t="n">
        <v>4.7</v>
      </c>
      <c r="G55" s="11" t="n">
        <v>492</v>
      </c>
      <c r="H55" s="11" t="n">
        <v>13</v>
      </c>
    </row>
    <row r="56" ht="16" customHeight="1">
      <c r="A56" s="8" t="n">
        <v>52</v>
      </c>
      <c r="B56" s="9" t="n">
        <v>8.1</v>
      </c>
      <c r="C56" s="9" t="n">
        <v>63.7</v>
      </c>
      <c r="D56" s="9" t="n">
        <v>67400</v>
      </c>
      <c r="E56" s="9" t="n">
        <v>7.9</v>
      </c>
      <c r="F56" s="9" t="n">
        <v>4.7</v>
      </c>
      <c r="G56" s="9" t="n">
        <v>480</v>
      </c>
      <c r="H56" s="9" t="n">
        <v>13.1</v>
      </c>
    </row>
    <row r="57" ht="16" customHeight="1">
      <c r="A57" s="10" t="n">
        <v>53</v>
      </c>
      <c r="B57" s="11" t="n">
        <v>7.4</v>
      </c>
      <c r="C57" s="11" t="n">
        <v>63.3</v>
      </c>
      <c r="D57" s="11" t="n">
        <v>69950</v>
      </c>
      <c r="E57" s="11" t="n">
        <v>5</v>
      </c>
      <c r="F57" s="11" t="n">
        <v>4.5</v>
      </c>
      <c r="G57" s="11" t="n">
        <v>478</v>
      </c>
      <c r="H57" s="11" t="n">
        <v>13.8</v>
      </c>
    </row>
    <row r="58" ht="16" customHeight="1">
      <c r="A58" s="8" t="n">
        <v>54</v>
      </c>
      <c r="B58" s="9" t="n">
        <v>6.2</v>
      </c>
      <c r="C58" s="9" t="n">
        <v>62.9</v>
      </c>
      <c r="D58" s="9" t="n">
        <v>69060</v>
      </c>
      <c r="E58" s="9" t="n">
        <v>5.5</v>
      </c>
      <c r="F58" s="9" t="n">
        <v>4.4</v>
      </c>
      <c r="G58" s="9" t="n">
        <v>471</v>
      </c>
      <c r="H58" s="9" t="n">
        <v>14.7</v>
      </c>
    </row>
    <row r="59" ht="16" customHeight="1">
      <c r="A59" s="10" t="n">
        <v>55</v>
      </c>
      <c r="B59" s="11" t="n">
        <v>5.3</v>
      </c>
      <c r="C59" s="11" t="n">
        <v>62.7</v>
      </c>
      <c r="D59" s="11" t="n">
        <v>72790</v>
      </c>
      <c r="E59" s="11" t="n">
        <v>5.9</v>
      </c>
      <c r="F59" s="11" t="n">
        <v>4.9</v>
      </c>
      <c r="G59" s="11" t="n">
        <v>459</v>
      </c>
      <c r="H59" s="11" t="n">
        <v>16.3</v>
      </c>
    </row>
    <row r="60" ht="16" customHeight="1">
      <c r="A60" s="8" t="n">
        <v>56</v>
      </c>
      <c r="B60" s="9" t="n">
        <v>4.9</v>
      </c>
      <c r="C60" s="9" t="n">
        <v>62.8</v>
      </c>
      <c r="D60" s="9" t="n">
        <v>75380</v>
      </c>
      <c r="E60" s="9" t="n">
        <v>5.4</v>
      </c>
      <c r="F60" s="9" t="n">
        <v>5.4</v>
      </c>
      <c r="G60" s="9" t="n">
        <v>450</v>
      </c>
      <c r="H60" s="9" t="n">
        <v>19.8</v>
      </c>
    </row>
    <row r="61" ht="16" customHeight="1">
      <c r="A61" s="10" t="n">
        <v>57</v>
      </c>
      <c r="B61" s="11" t="n">
        <v>4.4</v>
      </c>
      <c r="C61" s="11" t="n">
        <v>62.9</v>
      </c>
      <c r="D61" s="11" t="n">
        <v>76710</v>
      </c>
      <c r="E61" s="11" t="n">
        <v>5.8</v>
      </c>
      <c r="F61" s="11" t="n">
        <v>5.3</v>
      </c>
      <c r="G61" s="11" t="n">
        <v>440</v>
      </c>
      <c r="H61" s="11" t="n">
        <v>21.7</v>
      </c>
    </row>
    <row r="62" ht="16" customHeight="1">
      <c r="A62" s="8" t="n">
        <v>58</v>
      </c>
      <c r="B62" s="9" t="n">
        <v>3.9</v>
      </c>
      <c r="C62" s="9" t="n">
        <v>62.9</v>
      </c>
      <c r="D62" s="9" t="n">
        <v>77700</v>
      </c>
      <c r="E62" s="9" t="n">
        <v>6.4</v>
      </c>
      <c r="F62" s="9" t="n">
        <v>5</v>
      </c>
      <c r="G62" s="9" t="n">
        <v>431</v>
      </c>
      <c r="H62" s="9" t="n">
        <v>20.7</v>
      </c>
    </row>
    <row r="63" ht="16" customHeight="1">
      <c r="A63" s="10" t="n">
        <v>59</v>
      </c>
      <c r="B63" s="11" t="n">
        <v>3.7</v>
      </c>
      <c r="C63" s="11" t="n">
        <v>63.1</v>
      </c>
      <c r="D63" s="11" t="n">
        <v>83260</v>
      </c>
      <c r="E63" s="11" t="n">
        <v>7.3</v>
      </c>
      <c r="F63" s="11" t="n">
        <v>5</v>
      </c>
      <c r="G63" s="11" t="n">
        <v>419</v>
      </c>
      <c r="H63" s="11" t="n">
        <v>21.6</v>
      </c>
    </row>
    <row r="64" ht="16" customHeight="1">
      <c r="A64" s="8" t="n">
        <v>60</v>
      </c>
      <c r="B64" s="9" t="n">
        <v>8.1</v>
      </c>
      <c r="C64" s="9" t="n">
        <v>61.7</v>
      </c>
      <c r="D64" s="9" t="n">
        <v>81580</v>
      </c>
      <c r="E64" s="9" t="n">
        <v>15.1</v>
      </c>
      <c r="F64" s="9" t="n">
        <v>6.5</v>
      </c>
      <c r="G64" s="9" t="n">
        <v>358</v>
      </c>
      <c r="H64" s="9" t="n">
        <v>27.1</v>
      </c>
    </row>
    <row r="65" ht="16" customHeight="1">
      <c r="A65" s="10" t="n">
        <v>61</v>
      </c>
      <c r="B65" s="11" t="n">
        <v>5.4</v>
      </c>
      <c r="C65" s="11" t="n">
        <v>61.7</v>
      </c>
      <c r="D65" s="11" t="n">
        <v>81270</v>
      </c>
      <c r="E65" s="11" t="n">
        <v>11.3</v>
      </c>
      <c r="F65" s="11" t="n">
        <v>6.9</v>
      </c>
      <c r="G65" s="11" t="n">
        <v>336</v>
      </c>
      <c r="H65" s="11" t="n">
        <v>32.4</v>
      </c>
    </row>
    <row r="66" ht="16" customHeight="1">
      <c r="A66" s="8" t="n">
        <v>62</v>
      </c>
      <c r="B66" s="9" t="n">
        <v>3.7</v>
      </c>
      <c r="C66" s="9" t="n">
        <v>62.2</v>
      </c>
      <c r="D66" s="9" t="n">
        <v>79500</v>
      </c>
      <c r="E66" s="9" t="n">
        <v>3.4</v>
      </c>
      <c r="F66" s="9" t="n">
        <v>6.3</v>
      </c>
      <c r="G66" s="9" t="n">
        <v>350</v>
      </c>
      <c r="H66" s="9" t="n">
        <v>32</v>
      </c>
    </row>
    <row r="67" ht="16" customHeight="1">
      <c r="A67" s="10" t="n">
        <v>63</v>
      </c>
      <c r="B67" s="11" t="n">
        <v>3.6</v>
      </c>
      <c r="C67" s="11" t="n">
        <v>62.6</v>
      </c>
      <c r="D67" s="11" t="n">
        <v>82690</v>
      </c>
      <c r="E67" s="11" t="n">
        <v>5.6</v>
      </c>
      <c r="F67" s="11" t="n">
        <v>5.76</v>
      </c>
      <c r="G67" s="11" t="inlineStr"/>
      <c r="H67" s="11" t="inlineStr"/>
    </row>
    <row r="68" ht="16" customHeight="1">
      <c r="A68" s="8" t="n">
        <v>64</v>
      </c>
      <c r="B68" s="9" t="n">
        <v>4</v>
      </c>
      <c r="C68" s="9" t="n">
        <v>62.6</v>
      </c>
      <c r="D68" s="9" t="n">
        <v>83730</v>
      </c>
      <c r="E68" s="9" t="n">
        <v>5.4</v>
      </c>
      <c r="F68" s="9" t="inlineStr"/>
      <c r="G68" s="9" t="inlineStr"/>
      <c r="H68" s="9" t="inlineStr"/>
    </row>
    <row r="70" ht="8" customHeight="1"/>
    <row r="71">
      <c r="A71" s="12" t="inlineStr">
        <is>
          <t>SOURCES: Unemployment/LFPR/Income = FRED API | Homicide = FBI UCR embedded | Incarceration = BJS NPS embedded | Overdose = CDC NCHS embedded</t>
        </is>
      </c>
    </row>
  </sheetData>
  <mergeCells count="1">
    <mergeCell ref="A71:H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K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  <col width="14" customWidth="1" min="11" max="11"/>
  </cols>
  <sheetData>
    <row r="1" ht="10" customHeight="1"/>
    <row r="2" ht="14" customHeight="1"/>
    <row r="3" ht="28" customHeight="1">
      <c r="A3" s="13" t="inlineStr">
        <is>
          <t>HARM TOLERANCE CLOCK — PENDULUM DYNAMICS ENGINE</t>
        </is>
      </c>
    </row>
    <row r="4" ht="18" customHeight="1">
      <c r="A4" s="14" t="inlineStr">
        <is>
          <t>Position = weighted Ring composite | Velocity = 3yr rate of change | Acceleration = rate of change of velocity | Saddle Score: 3 = STRONG predictive signal ⚡</t>
        </is>
      </c>
    </row>
    <row r="5" ht="44" customHeight="1">
      <c r="A5" s="15" t="inlineStr">
        <is>
          <t>Year</t>
        </is>
      </c>
      <c r="B5" s="15" t="inlineStr">
        <is>
          <t>Ring C
Behavioral
(Normalized)</t>
        </is>
      </c>
      <c r="C5" s="15" t="inlineStr">
        <is>
          <t>Ring B
Normative
(Placeholder)</t>
        </is>
      </c>
      <c r="D5" s="15" t="inlineStr">
        <is>
          <t>Ring A
Structural
(Normalized)</t>
        </is>
      </c>
      <c r="E5" s="15" t="inlineStr">
        <is>
          <t>Clock
Position
(-1 to +1)</t>
        </is>
      </c>
      <c r="F5" s="15" t="inlineStr">
        <is>
          <t>Clock
Position
(-10 to +10)</t>
        </is>
      </c>
      <c r="G5" s="15" t="inlineStr">
        <is>
          <t>Velocity
(3yr Δ)</t>
        </is>
      </c>
      <c r="H5" s="15" t="inlineStr">
        <is>
          <t>Acceleration
(3yr Δ²)</t>
        </is>
      </c>
      <c r="I5" s="15" t="inlineStr">
        <is>
          <t>Saddle
Score
(0-3)</t>
        </is>
      </c>
      <c r="J5" s="15" t="inlineStr">
        <is>
          <t>Saddle Signal</t>
        </is>
      </c>
      <c r="K5" s="15" t="inlineStr">
        <is>
          <t>Pressure
Index</t>
        </is>
      </c>
    </row>
    <row r="6" ht="16" customHeight="1">
      <c r="A6" s="8" t="n">
        <v>0</v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16" customHeight="1">
      <c r="A7" s="10" t="n">
        <v>1</v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</row>
    <row r="8" ht="16" customHeight="1">
      <c r="A8" s="8" t="n">
        <v>2</v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16" customHeight="1">
      <c r="A9" s="10" t="n">
        <v>3</v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</row>
    <row r="10" ht="16" customHeight="1">
      <c r="A10" s="8" t="n">
        <v>4</v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16" customHeight="1">
      <c r="A11" s="10" t="n">
        <v>5</v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 ht="16" customHeight="1">
      <c r="A12" s="8" t="n">
        <v>6</v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16" customHeight="1">
      <c r="A13" s="10" t="n">
        <v>7</v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 ht="16" customHeight="1">
      <c r="A14" s="8" t="n">
        <v>8</v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16" customHeight="1">
      <c r="A15" s="10" t="n">
        <v>9</v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 ht="16" customHeight="1">
      <c r="A16" s="8" t="n">
        <v>10</v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 ht="16" customHeight="1">
      <c r="A17" s="10" t="n">
        <v>11</v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 ht="16" customHeight="1">
      <c r="A18" s="8" t="n">
        <v>12</v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16" customHeight="1">
      <c r="A19" s="10" t="n">
        <v>13</v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 ht="16" customHeight="1">
      <c r="A20" s="8" t="n">
        <v>14</v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 ht="16" customHeight="1">
      <c r="A21" s="10" t="n">
        <v>15</v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16" customHeight="1">
      <c r="A22" s="8" t="n">
        <v>16</v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 ht="16" customHeight="1">
      <c r="A23" s="10" t="n">
        <v>17</v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16" customHeight="1">
      <c r="A24" s="8" t="n">
        <v>18</v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 ht="16" customHeight="1">
      <c r="A25" s="10" t="n">
        <v>19</v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 ht="16" customHeight="1">
      <c r="A26" s="8" t="n">
        <v>20</v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16" customHeight="1">
      <c r="A27" s="10" t="n">
        <v>21</v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 ht="16" customHeight="1">
      <c r="A28" s="8" t="n">
        <v>22</v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 ht="16" customHeight="1">
      <c r="A29" s="10" t="n">
        <v>23</v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 ht="16" customHeight="1">
      <c r="A30" s="8" t="n">
        <v>24</v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</row>
    <row r="31" ht="16" customHeight="1">
      <c r="A31" s="10" t="n">
        <v>25</v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 ht="16" customHeight="1">
      <c r="A32" s="8" t="n">
        <v>26</v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</row>
    <row r="33" ht="16" customHeight="1">
      <c r="A33" s="10" t="n">
        <v>27</v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 ht="16" customHeight="1">
      <c r="A34" s="8" t="n">
        <v>28</v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</row>
    <row r="35" ht="16" customHeight="1">
      <c r="A35" s="10" t="n">
        <v>29</v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 ht="16" customHeight="1">
      <c r="A36" s="8" t="n">
        <v>30</v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</row>
    <row r="37" ht="16" customHeight="1">
      <c r="A37" s="10" t="n">
        <v>31</v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 ht="16" customHeight="1">
      <c r="A38" s="8" t="n">
        <v>32</v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</row>
    <row r="39" ht="16" customHeight="1">
      <c r="A39" s="10" t="n">
        <v>33</v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 ht="16" customHeight="1">
      <c r="A40" s="8" t="n">
        <v>34</v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</row>
    <row r="41" ht="16" customHeight="1">
      <c r="A41" s="10" t="n">
        <v>35</v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 ht="16" customHeight="1">
      <c r="A42" s="8" t="n">
        <v>36</v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</row>
    <row r="43" ht="16" customHeight="1">
      <c r="A43" s="10" t="n">
        <v>37</v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 ht="16" customHeight="1">
      <c r="A44" s="8" t="n">
        <v>38</v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</row>
    <row r="45" ht="16" customHeight="1">
      <c r="A45" s="10" t="n">
        <v>39</v>
      </c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 ht="16" customHeight="1">
      <c r="A46" s="8" t="n">
        <v>40</v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</row>
    <row r="47" ht="16" customHeight="1">
      <c r="A47" s="10" t="n">
        <v>41</v>
      </c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 ht="16" customHeight="1">
      <c r="A48" s="8" t="n">
        <v>42</v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</row>
    <row r="49" ht="16" customHeight="1">
      <c r="A49" s="10" t="n">
        <v>43</v>
      </c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 ht="16" customHeight="1">
      <c r="A50" s="8" t="n">
        <v>44</v>
      </c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</row>
    <row r="51" ht="16" customHeight="1">
      <c r="A51" s="10" t="n">
        <v>45</v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 ht="16" customHeight="1">
      <c r="A52" s="8" t="n">
        <v>46</v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</row>
    <row r="53" ht="16" customHeight="1">
      <c r="A53" s="10" t="n">
        <v>47</v>
      </c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 ht="16" customHeight="1">
      <c r="A54" s="8" t="n">
        <v>48</v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</row>
    <row r="55" ht="16" customHeight="1">
      <c r="A55" s="10" t="n">
        <v>49</v>
      </c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 ht="16" customHeight="1">
      <c r="A56" s="8" t="n">
        <v>50</v>
      </c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</row>
    <row r="57" ht="16" customHeight="1">
      <c r="A57" s="10" t="n">
        <v>51</v>
      </c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 ht="16" customHeight="1">
      <c r="A58" s="8" t="n">
        <v>52</v>
      </c>
      <c r="B58" s="9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</row>
    <row r="59" ht="16" customHeight="1">
      <c r="A59" s="10" t="n">
        <v>53</v>
      </c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 ht="16" customHeight="1">
      <c r="A60" s="8" t="n">
        <v>54</v>
      </c>
      <c r="B60" s="9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</row>
    <row r="61" ht="16" customHeight="1">
      <c r="A61" s="10" t="n">
        <v>55</v>
      </c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 ht="16" customHeight="1">
      <c r="A62" s="8" t="n">
        <v>56</v>
      </c>
      <c r="B62" s="9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</row>
    <row r="63" ht="16" customHeight="1">
      <c r="A63" s="10" t="n">
        <v>57</v>
      </c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 ht="16" customHeight="1">
      <c r="A64" s="8" t="n">
        <v>58</v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</row>
    <row r="65" ht="16" customHeight="1">
      <c r="A65" s="10" t="n">
        <v>59</v>
      </c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 ht="16" customHeight="1">
      <c r="A66" s="8" t="n">
        <v>60</v>
      </c>
      <c r="B66" s="9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</row>
    <row r="67" ht="16" customHeight="1">
      <c r="A67" s="10" t="n">
        <v>61</v>
      </c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 ht="16" customHeight="1">
      <c r="A68" s="8" t="n">
        <v>62</v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</row>
    <row r="69" ht="16" customHeight="1">
      <c r="A69" s="10" t="n">
        <v>63</v>
      </c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 ht="16" customHeight="1">
      <c r="A70" s="8" t="n">
        <v>64</v>
      </c>
      <c r="B70" s="9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</row>
  </sheetData>
  <mergeCells count="2">
    <mergeCell ref="A4:K4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50" customWidth="1" min="8" max="8"/>
  </cols>
  <sheetData>
    <row r="2" ht="36" customHeight="1">
      <c r="B2" s="16" t="inlineStr">
        <is>
          <t>🔮 HARM TOLERANCE CLOCK — SADDLE POINT DETECTION</t>
        </is>
      </c>
    </row>
    <row r="3" ht="16" customHeight="1">
      <c r="B3" s="14" t="inlineStr">
        <is>
          <t>SCORE 3 = STRONG SADDLE ⚡ | Velocity &lt; 0 + Acceleration &gt; 0 + Zero-crossing confirmed | These are your predictive turning point signals</t>
        </is>
      </c>
    </row>
    <row r="4" ht="36" customHeight="1">
      <c r="B4" s="7" t="inlineStr">
        <is>
          <t>Year</t>
        </is>
      </c>
      <c r="C4" s="7" t="inlineStr">
        <is>
          <t>Clock
Position</t>
        </is>
      </c>
      <c r="D4" s="7" t="inlineStr">
        <is>
          <t>Velocity</t>
        </is>
      </c>
      <c r="E4" s="7" t="inlineStr">
        <is>
          <t>Acceleration</t>
        </is>
      </c>
      <c r="F4" s="7" t="inlineStr">
        <is>
          <t>Saddle
Score</t>
        </is>
      </c>
      <c r="G4" s="7" t="inlineStr">
        <is>
          <t>Signal</t>
        </is>
      </c>
      <c r="H4" s="7" t="inlineStr">
        <is>
          <t>Interpretation</t>
        </is>
      </c>
    </row>
    <row r="5" ht="28" customHeight="1">
      <c r="B5" s="17" t="n">
        <v>1979</v>
      </c>
      <c r="C5" s="18" t="n">
        <v>0.86</v>
      </c>
      <c r="D5" s="18" t="n">
        <v>-0.009900000000000001</v>
      </c>
      <c r="E5" s="18" t="n">
        <v>0.0417</v>
      </c>
      <c r="F5" s="18" t="n">
        <v>2</v>
      </c>
      <c r="G5" s="19" t="inlineStr">
        <is>
          <t>MODERATE SADDLE</t>
        </is>
      </c>
      <c r="H5" s="20" t="inlineStr">
        <is>
          <t>Moderate inflection signal. Velocity negative, acceleration positive. Monitor for confirmation.</t>
        </is>
      </c>
    </row>
    <row r="6" ht="28" customHeight="1">
      <c r="B6" s="17" t="n">
        <v>1982</v>
      </c>
      <c r="C6" s="18" t="n">
        <v>-0.59</v>
      </c>
      <c r="D6" s="18" t="n">
        <v>-0.0455</v>
      </c>
      <c r="E6" s="18" t="n">
        <v>0.008800000000000001</v>
      </c>
      <c r="F6" s="18" t="n">
        <v>2</v>
      </c>
      <c r="G6" s="19" t="inlineStr">
        <is>
          <t>MODERATE SADDLE</t>
        </is>
      </c>
      <c r="H6" s="20" t="inlineStr">
        <is>
          <t>Moderate inflection signal. Velocity negative, acceleration positive. Monitor for confirmation.</t>
        </is>
      </c>
    </row>
    <row r="7" ht="28" customHeight="1">
      <c r="B7" s="21" t="n">
        <v>1995</v>
      </c>
      <c r="C7" s="22" t="n">
        <v>-1.72</v>
      </c>
      <c r="D7" s="22" t="n">
        <v>-0.0022</v>
      </c>
      <c r="E7" s="22" t="n">
        <v>0.0321</v>
      </c>
      <c r="F7" s="22" t="n">
        <v>3</v>
      </c>
      <c r="G7" s="23" t="inlineStr">
        <is>
          <t>STRONG SADDLE ⚡</t>
        </is>
      </c>
      <c r="H7" s="24" t="inlineStr">
        <is>
          <t>⚡ STRONG SIGNAL: Maximum momentum loading detected. Clock still moving negative but deceleration confirmed. Check leading indicators now — reversal pressure building.</t>
        </is>
      </c>
    </row>
    <row r="8" ht="28" customHeight="1">
      <c r="B8" s="17" t="n">
        <v>1996</v>
      </c>
      <c r="C8" s="18" t="n">
        <v>0.12</v>
      </c>
      <c r="D8" s="18" t="n">
        <v>0.0433</v>
      </c>
      <c r="E8" s="18" t="n">
        <v>0.0335</v>
      </c>
      <c r="F8" s="18" t="n">
        <v>2</v>
      </c>
      <c r="G8" s="19" t="inlineStr">
        <is>
          <t>MODERATE SADDLE</t>
        </is>
      </c>
      <c r="H8" s="20" t="inlineStr">
        <is>
          <t>Moderate inflection signal. Velocity negative, acceleration positive. Monitor for confirmation.</t>
        </is>
      </c>
    </row>
    <row r="9" ht="28" customHeight="1">
      <c r="B9" s="17" t="n">
        <v>1997</v>
      </c>
      <c r="C9" s="18" t="n">
        <v>-0.59</v>
      </c>
      <c r="D9" s="18" t="n">
        <v>0.0221</v>
      </c>
      <c r="E9" s="18" t="n">
        <v>0.0224</v>
      </c>
      <c r="F9" s="18" t="n">
        <v>2</v>
      </c>
      <c r="G9" s="19" t="inlineStr">
        <is>
          <t>MODERATE SADDLE</t>
        </is>
      </c>
      <c r="H9" s="20" t="inlineStr">
        <is>
          <t>Moderate inflection signal. Velocity negative, acceleration positive. Monitor for confirmation.</t>
        </is>
      </c>
    </row>
    <row r="10" ht="28" customHeight="1">
      <c r="B10" s="17" t="n">
        <v>2000</v>
      </c>
      <c r="C10" s="18" t="n">
        <v>2.15</v>
      </c>
      <c r="D10" s="18" t="n">
        <v>0.0912</v>
      </c>
      <c r="E10" s="18" t="n">
        <v>0.023</v>
      </c>
      <c r="F10" s="18" t="n">
        <v>2</v>
      </c>
      <c r="G10" s="19" t="inlineStr">
        <is>
          <t>MODERATE SADDLE</t>
        </is>
      </c>
      <c r="H10" s="20" t="inlineStr">
        <is>
          <t>Moderate inflection signal. Velocity negative, acceleration positive. Monitor for confirmation.</t>
        </is>
      </c>
    </row>
    <row r="11" ht="28" customHeight="1">
      <c r="B11" s="17" t="n">
        <v>2002</v>
      </c>
      <c r="C11" s="18" t="n">
        <v>1.33</v>
      </c>
      <c r="D11" s="18" t="n">
        <v>0.0301</v>
      </c>
      <c r="E11" s="18" t="n">
        <v>0.0066</v>
      </c>
      <c r="F11" s="18" t="n">
        <v>2</v>
      </c>
      <c r="G11" s="19" t="inlineStr">
        <is>
          <t>MODERATE SADDLE</t>
        </is>
      </c>
      <c r="H11" s="20" t="inlineStr">
        <is>
          <t>Moderate inflection signal. Velocity negative, acceleration positive. Monitor for confirmation.</t>
        </is>
      </c>
    </row>
    <row r="12" ht="28" customHeight="1">
      <c r="B12" s="17" t="n">
        <v>2006</v>
      </c>
      <c r="C12" s="18" t="n">
        <v>1.38</v>
      </c>
      <c r="D12" s="18" t="n">
        <v>0.0689</v>
      </c>
      <c r="E12" s="18" t="n">
        <v>0.0544</v>
      </c>
      <c r="F12" s="18" t="n">
        <v>2</v>
      </c>
      <c r="G12" s="19" t="inlineStr">
        <is>
          <t>MODERATE SADDLE</t>
        </is>
      </c>
      <c r="H12" s="20" t="inlineStr">
        <is>
          <t>Moderate inflection signal. Velocity negative, acceleration positive. Monitor for confirmation.</t>
        </is>
      </c>
    </row>
    <row r="13" ht="28" customHeight="1">
      <c r="B13" s="17" t="n">
        <v>2008</v>
      </c>
      <c r="C13" s="18" t="n">
        <v>0.85</v>
      </c>
      <c r="D13" s="18" t="n">
        <v>0.0622</v>
      </c>
      <c r="E13" s="18" t="n">
        <v>0.0468</v>
      </c>
      <c r="F13" s="18" t="n">
        <v>2</v>
      </c>
      <c r="G13" s="19" t="inlineStr">
        <is>
          <t>MODERATE SADDLE</t>
        </is>
      </c>
      <c r="H13" s="20" t="inlineStr">
        <is>
          <t>Moderate inflection signal. Velocity negative, acceleration positive. Monitor for confirmation.</t>
        </is>
      </c>
    </row>
    <row r="14" ht="28" customHeight="1">
      <c r="B14" s="17" t="n">
        <v>2010</v>
      </c>
      <c r="C14" s="18" t="n">
        <v>-0.9</v>
      </c>
      <c r="D14" s="18" t="n">
        <v>0.0168</v>
      </c>
      <c r="E14" s="18" t="n">
        <v>0.0367</v>
      </c>
      <c r="F14" s="18" t="n">
        <v>2</v>
      </c>
      <c r="G14" s="19" t="inlineStr">
        <is>
          <t>MODERATE SADDLE</t>
        </is>
      </c>
      <c r="H14" s="20" t="inlineStr">
        <is>
          <t>Moderate inflection signal. Velocity negative, acceleration positive. Monitor for confirmation.</t>
        </is>
      </c>
    </row>
    <row r="15" ht="28" customHeight="1">
      <c r="B15" s="17" t="n">
        <v>2012</v>
      </c>
      <c r="C15" s="18" t="n">
        <v>-0.31</v>
      </c>
      <c r="D15" s="18" t="n">
        <v>0.1267</v>
      </c>
      <c r="E15" s="18" t="n">
        <v>0.1032</v>
      </c>
      <c r="F15" s="18" t="n">
        <v>2</v>
      </c>
      <c r="G15" s="19" t="inlineStr">
        <is>
          <t>MODERATE SADDLE</t>
        </is>
      </c>
      <c r="H15" s="20" t="inlineStr">
        <is>
          <t>Moderate inflection signal. Velocity negative, acceleration positive. Monitor for confirmation.</t>
        </is>
      </c>
    </row>
    <row r="16" ht="28" customHeight="1">
      <c r="B16" s="17" t="n">
        <v>2014</v>
      </c>
      <c r="C16" s="18" t="n">
        <v>0.6</v>
      </c>
      <c r="D16" s="18" t="n">
        <v>0.171</v>
      </c>
      <c r="E16" s="18" t="n">
        <v>0.1167</v>
      </c>
      <c r="F16" s="18" t="n">
        <v>2</v>
      </c>
      <c r="G16" s="19" t="inlineStr">
        <is>
          <t>MODERATE SADDLE</t>
        </is>
      </c>
      <c r="H16" s="20" t="inlineStr">
        <is>
          <t>Moderate inflection signal. Velocity negative, acceleration positive. Monitor for confirmation.</t>
        </is>
      </c>
    </row>
    <row r="17" ht="28" customHeight="1">
      <c r="B17" s="17" t="n">
        <v>2016</v>
      </c>
      <c r="C17" s="18" t="n">
        <v>0.85</v>
      </c>
      <c r="D17" s="18" t="n">
        <v>0.147</v>
      </c>
      <c r="E17" s="18" t="n">
        <v>0.0785</v>
      </c>
      <c r="F17" s="18" t="n">
        <v>2</v>
      </c>
      <c r="G17" s="19" t="inlineStr">
        <is>
          <t>MODERATE SADDLE</t>
        </is>
      </c>
      <c r="H17" s="20" t="inlineStr">
        <is>
          <t>Moderate inflection signal. Velocity negative, acceleration positive. Monitor for confirmation.</t>
        </is>
      </c>
    </row>
    <row r="18" ht="28" customHeight="1">
      <c r="B18" s="17" t="n">
        <v>2018</v>
      </c>
      <c r="C18" s="18" t="n">
        <v>1.8</v>
      </c>
      <c r="D18" s="18" t="n">
        <v>0.171</v>
      </c>
      <c r="E18" s="18" t="n">
        <v>0.0906</v>
      </c>
      <c r="F18" s="18" t="n">
        <v>2</v>
      </c>
      <c r="G18" s="19" t="inlineStr">
        <is>
          <t>MODERATE SADDLE</t>
        </is>
      </c>
      <c r="H18" s="20" t="inlineStr">
        <is>
          <t>Moderate inflection signal. Velocity negative, acceleration positive. Monitor for confirmation.</t>
        </is>
      </c>
    </row>
    <row r="19" ht="28" customHeight="1">
      <c r="B19" s="21" t="n">
        <v>2020</v>
      </c>
      <c r="C19" s="22" t="n">
        <v>-4.37</v>
      </c>
      <c r="D19" s="22" t="n">
        <v>-0.0437</v>
      </c>
      <c r="E19" s="22" t="n">
        <v>0.0261</v>
      </c>
      <c r="F19" s="22" t="n">
        <v>3</v>
      </c>
      <c r="G19" s="23" t="inlineStr">
        <is>
          <t>STRONG SADDLE ⚡</t>
        </is>
      </c>
      <c r="H19" s="24" t="inlineStr">
        <is>
          <t>⚡ STRONG SIGNAL: Maximum momentum loading detected. Clock still moving negative but deceleration confirmed. Check leading indicators now — reversal pressure building.</t>
        </is>
      </c>
    </row>
    <row r="20" ht="28" customHeight="1">
      <c r="B20" s="17" t="n">
        <v>2022</v>
      </c>
      <c r="C20" s="18" t="n">
        <v>0.77</v>
      </c>
      <c r="D20" s="18" t="n">
        <v>0.1107</v>
      </c>
      <c r="E20" s="18" t="n">
        <v>0.0746</v>
      </c>
      <c r="F20" s="18" t="n">
        <v>2</v>
      </c>
      <c r="G20" s="19" t="inlineStr">
        <is>
          <t>MODERATE SADDLE</t>
        </is>
      </c>
      <c r="H20" s="20" t="inlineStr">
        <is>
          <t>Moderate inflection signal. Velocity negative, acceleration positive. Monitor for confirmation.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Clock Position (-10 to +10)</t>
        </is>
      </c>
      <c r="C1" t="inlineStr">
        <is>
          <t>Velocity</t>
        </is>
      </c>
      <c r="D1" t="inlineStr">
        <is>
          <t>Acceleration</t>
        </is>
      </c>
    </row>
    <row r="2">
      <c r="A2" t="n">
        <v>1979</v>
      </c>
      <c r="B2" t="n">
        <v>0.857</v>
      </c>
      <c r="C2" t="n">
        <v>-0.009900000000000001</v>
      </c>
      <c r="D2" t="n">
        <v>0.0417</v>
      </c>
    </row>
    <row r="3">
      <c r="A3" t="n">
        <v>1980</v>
      </c>
      <c r="B3" t="n">
        <v>1.049</v>
      </c>
      <c r="C3" t="n">
        <v>0.0111</v>
      </c>
      <c r="D3" t="n">
        <v>0.0365</v>
      </c>
    </row>
    <row r="4">
      <c r="A4" t="n">
        <v>1982</v>
      </c>
      <c r="B4" t="n">
        <v>-0.587</v>
      </c>
      <c r="C4" t="n">
        <v>-0.0455</v>
      </c>
      <c r="D4" t="n">
        <v>0.008800000000000001</v>
      </c>
    </row>
    <row r="5">
      <c r="A5" t="n">
        <v>1984</v>
      </c>
      <c r="B5" t="n">
        <v>1.814</v>
      </c>
      <c r="C5" t="n">
        <v>0.0319</v>
      </c>
      <c r="D5" t="n">
        <v>0.0139</v>
      </c>
    </row>
    <row r="6">
      <c r="A6" t="n">
        <v>1985</v>
      </c>
      <c r="B6" t="n">
        <v>1.647</v>
      </c>
      <c r="C6" t="n">
        <v>0.0199</v>
      </c>
      <c r="D6" t="n">
        <v>0.0029</v>
      </c>
    </row>
    <row r="7">
      <c r="A7" t="n">
        <v>1986</v>
      </c>
      <c r="B7" t="n">
        <v>1.675</v>
      </c>
      <c r="C7" t="n">
        <v>0.07539999999999999</v>
      </c>
      <c r="D7" t="n">
        <v>0.0403</v>
      </c>
    </row>
    <row r="8">
      <c r="A8" t="n">
        <v>1987</v>
      </c>
      <c r="B8" t="n">
        <v>2.025</v>
      </c>
      <c r="C8" t="n">
        <v>0.007</v>
      </c>
      <c r="D8" t="n">
        <v>-0.0083</v>
      </c>
    </row>
    <row r="9">
      <c r="A9" t="n">
        <v>1988</v>
      </c>
      <c r="B9" t="n">
        <v>1.409</v>
      </c>
      <c r="C9" t="n">
        <v>-0.007900000000000001</v>
      </c>
      <c r="D9" t="n">
        <v>-0.009299999999999999</v>
      </c>
    </row>
    <row r="10">
      <c r="A10" t="n">
        <v>1989</v>
      </c>
      <c r="B10" t="n">
        <v>1.294</v>
      </c>
      <c r="C10" t="n">
        <v>-0.0127</v>
      </c>
      <c r="D10" t="n">
        <v>-0.0294</v>
      </c>
    </row>
    <row r="11">
      <c r="A11" t="n">
        <v>1990</v>
      </c>
      <c r="B11" t="n">
        <v>0.541</v>
      </c>
      <c r="C11" t="n">
        <v>-0.0494</v>
      </c>
      <c r="D11" t="n">
        <v>-0.0188</v>
      </c>
    </row>
    <row r="12">
      <c r="A12" t="n">
        <v>1991</v>
      </c>
      <c r="B12" t="n">
        <v>0.096</v>
      </c>
      <c r="C12" t="n">
        <v>-0.0438</v>
      </c>
      <c r="D12" t="n">
        <v>-0.0119</v>
      </c>
    </row>
    <row r="13">
      <c r="A13" t="n">
        <v>1992</v>
      </c>
      <c r="B13" t="n">
        <v>-1.656</v>
      </c>
      <c r="C13" t="n">
        <v>-0.0983</v>
      </c>
      <c r="D13" t="n">
        <v>-0.0285</v>
      </c>
    </row>
    <row r="14">
      <c r="A14" t="n">
        <v>1993</v>
      </c>
      <c r="B14" t="n">
        <v>-1.178</v>
      </c>
      <c r="C14" t="n">
        <v>-0.0573</v>
      </c>
      <c r="D14" t="n">
        <v>-0.0026</v>
      </c>
    </row>
    <row r="15">
      <c r="A15" t="n">
        <v>1994</v>
      </c>
      <c r="B15" t="n">
        <v>-1.254</v>
      </c>
      <c r="C15" t="n">
        <v>-0.045</v>
      </c>
      <c r="D15" t="n">
        <v>-0.0004</v>
      </c>
    </row>
    <row r="16">
      <c r="A16" t="n">
        <v>1995</v>
      </c>
      <c r="B16" t="n">
        <v>-1.721</v>
      </c>
      <c r="C16" t="n">
        <v>-0.0022</v>
      </c>
      <c r="D16" t="n">
        <v>0.0321</v>
      </c>
    </row>
    <row r="17">
      <c r="A17" t="n">
        <v>1996</v>
      </c>
      <c r="B17" t="n">
        <v>0.122</v>
      </c>
      <c r="C17" t="n">
        <v>0.0433</v>
      </c>
      <c r="D17" t="n">
        <v>0.0335</v>
      </c>
    </row>
    <row r="18">
      <c r="A18" t="n">
        <v>1997</v>
      </c>
      <c r="B18" t="n">
        <v>-0.591</v>
      </c>
      <c r="C18" t="n">
        <v>0.0221</v>
      </c>
      <c r="D18" t="n">
        <v>0.0224</v>
      </c>
    </row>
    <row r="19">
      <c r="A19" t="n">
        <v>1998</v>
      </c>
      <c r="B19" t="n">
        <v>1.279</v>
      </c>
      <c r="C19" t="n">
        <v>0.1</v>
      </c>
      <c r="D19" t="n">
        <v>0.0341</v>
      </c>
    </row>
    <row r="20">
      <c r="A20" t="n">
        <v>1999</v>
      </c>
      <c r="B20" t="n">
        <v>0.428</v>
      </c>
      <c r="C20" t="n">
        <v>0.0102</v>
      </c>
      <c r="D20" t="n">
        <v>-0.011</v>
      </c>
    </row>
    <row r="21">
      <c r="A21" t="n">
        <v>2000</v>
      </c>
      <c r="B21" t="n">
        <v>2.146</v>
      </c>
      <c r="C21" t="n">
        <v>0.0912</v>
      </c>
      <c r="D21" t="n">
        <v>0.023</v>
      </c>
    </row>
    <row r="22">
      <c r="A22" t="n">
        <v>2001</v>
      </c>
      <c r="B22" t="n">
        <v>1.662</v>
      </c>
      <c r="C22" t="n">
        <v>0.0128</v>
      </c>
      <c r="D22" t="n">
        <v>-0.0291</v>
      </c>
    </row>
    <row r="23">
      <c r="A23" t="n">
        <v>2002</v>
      </c>
      <c r="B23" t="n">
        <v>1.332</v>
      </c>
      <c r="C23" t="n">
        <v>0.0301</v>
      </c>
      <c r="D23" t="n">
        <v>0.0066</v>
      </c>
    </row>
    <row r="24">
      <c r="A24" t="n">
        <v>2003</v>
      </c>
      <c r="B24" t="n">
        <v>-0.6879999999999999</v>
      </c>
      <c r="C24" t="n">
        <v>-0.0945</v>
      </c>
      <c r="D24" t="n">
        <v>-0.0619</v>
      </c>
    </row>
    <row r="25">
      <c r="A25" t="n">
        <v>2004</v>
      </c>
      <c r="B25" t="n">
        <v>1.387</v>
      </c>
      <c r="C25" t="n">
        <v>-0.0092</v>
      </c>
      <c r="D25" t="n">
        <v>-0.0073</v>
      </c>
    </row>
    <row r="26">
      <c r="A26" t="n">
        <v>2005</v>
      </c>
      <c r="B26" t="n">
        <v>-1.016</v>
      </c>
      <c r="C26" t="n">
        <v>-0.07820000000000001</v>
      </c>
      <c r="D26" t="n">
        <v>-0.0361</v>
      </c>
    </row>
    <row r="27">
      <c r="A27" t="n">
        <v>2006</v>
      </c>
      <c r="B27" t="n">
        <v>1.378</v>
      </c>
      <c r="C27" t="n">
        <v>0.0689</v>
      </c>
      <c r="D27" t="n">
        <v>0.0544</v>
      </c>
    </row>
    <row r="28">
      <c r="A28" t="n">
        <v>2007</v>
      </c>
      <c r="B28" t="n">
        <v>-1.409</v>
      </c>
      <c r="C28" t="n">
        <v>-0.09320000000000001</v>
      </c>
      <c r="D28" t="n">
        <v>-0.028</v>
      </c>
    </row>
    <row r="29">
      <c r="A29" t="n">
        <v>2008</v>
      </c>
      <c r="B29" t="n">
        <v>0.851</v>
      </c>
      <c r="C29" t="n">
        <v>0.0622</v>
      </c>
      <c r="D29" t="n">
        <v>0.0468</v>
      </c>
    </row>
    <row r="30">
      <c r="A30" t="n">
        <v>2009</v>
      </c>
      <c r="B30" t="n">
        <v>-4.112</v>
      </c>
      <c r="C30" t="n">
        <v>-0.183</v>
      </c>
      <c r="D30" t="n">
        <v>-0.0839</v>
      </c>
    </row>
    <row r="31">
      <c r="A31" t="n">
        <v>2010</v>
      </c>
      <c r="B31" t="n">
        <v>-0.904</v>
      </c>
      <c r="C31" t="n">
        <v>0.0168</v>
      </c>
      <c r="D31" t="n">
        <v>0.0367</v>
      </c>
    </row>
    <row r="32">
      <c r="A32" t="n">
        <v>2011</v>
      </c>
      <c r="B32" t="n">
        <v>-4.527</v>
      </c>
      <c r="C32" t="n">
        <v>-0.1793</v>
      </c>
      <c r="D32" t="n">
        <v>-0.0805</v>
      </c>
    </row>
    <row r="33">
      <c r="A33" t="n">
        <v>2012</v>
      </c>
      <c r="B33" t="n">
        <v>-0.31</v>
      </c>
      <c r="C33" t="n">
        <v>0.1267</v>
      </c>
      <c r="D33" t="n">
        <v>0.1032</v>
      </c>
    </row>
    <row r="34">
      <c r="A34" t="n">
        <v>2013</v>
      </c>
      <c r="B34" t="n">
        <v>-3.561</v>
      </c>
      <c r="C34" t="n">
        <v>-0.0886</v>
      </c>
      <c r="D34" t="n">
        <v>-0.0351</v>
      </c>
    </row>
    <row r="35">
      <c r="A35" t="n">
        <v>2014</v>
      </c>
      <c r="B35" t="n">
        <v>0.602</v>
      </c>
      <c r="C35" t="n">
        <v>0.171</v>
      </c>
      <c r="D35" t="n">
        <v>0.1167</v>
      </c>
    </row>
    <row r="36">
      <c r="A36" t="n">
        <v>2015</v>
      </c>
      <c r="B36" t="n">
        <v>-3.334</v>
      </c>
      <c r="C36" t="n">
        <v>-0.1008</v>
      </c>
      <c r="D36" t="n">
        <v>-0.07580000000000001</v>
      </c>
    </row>
    <row r="37">
      <c r="A37" t="n">
        <v>2016</v>
      </c>
      <c r="B37" t="n">
        <v>0.848</v>
      </c>
      <c r="C37" t="n">
        <v>0.147</v>
      </c>
      <c r="D37" t="n">
        <v>0.0785</v>
      </c>
    </row>
    <row r="38">
      <c r="A38" t="n">
        <v>2017</v>
      </c>
      <c r="B38" t="n">
        <v>-3.057</v>
      </c>
      <c r="C38" t="n">
        <v>-0.122</v>
      </c>
      <c r="D38" t="n">
        <v>-0.09760000000000001</v>
      </c>
    </row>
    <row r="39">
      <c r="A39" t="n">
        <v>2018</v>
      </c>
      <c r="B39" t="n">
        <v>1.797</v>
      </c>
      <c r="C39" t="n">
        <v>0.171</v>
      </c>
      <c r="D39" t="n">
        <v>0.0906</v>
      </c>
    </row>
    <row r="40">
      <c r="A40" t="n">
        <v>2019</v>
      </c>
      <c r="B40" t="n">
        <v>-2.545</v>
      </c>
      <c r="C40" t="n">
        <v>-0.1131</v>
      </c>
      <c r="D40" t="n">
        <v>-0.0867</v>
      </c>
    </row>
    <row r="41">
      <c r="A41" t="n">
        <v>2020</v>
      </c>
      <c r="B41" t="n">
        <v>-4.367</v>
      </c>
      <c r="C41" t="n">
        <v>-0.0437</v>
      </c>
      <c r="D41" t="n">
        <v>0.0261</v>
      </c>
    </row>
    <row r="42">
      <c r="A42" t="n">
        <v>2021</v>
      </c>
      <c r="B42" t="n">
        <v>-3.739</v>
      </c>
      <c r="C42" t="n">
        <v>-0.1845</v>
      </c>
      <c r="D42" t="n">
        <v>-0.1185</v>
      </c>
    </row>
    <row r="43">
      <c r="A43" t="n">
        <v>2022</v>
      </c>
      <c r="B43" t="n">
        <v>0.775</v>
      </c>
      <c r="C43" t="n">
        <v>0.1107</v>
      </c>
      <c r="D43" t="n">
        <v>0.0746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2026-02-19T02:27:41Z</dcterms:created>
  <dcterms:modified xmlns:dcterms="http://purl.org/dc/terms/" xmlns:xsi="http://www.w3.org/2001/XMLSchema-instance" xsi:type="dcterms:W3CDTF">2026-02-19T02:27:41Z</dcterms:modified>
</cp:coreProperties>
</file>